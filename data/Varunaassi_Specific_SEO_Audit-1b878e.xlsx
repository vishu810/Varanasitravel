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unaassi SEO Audit" sheetId="1" r:id="rId4"/>
    <sheet state="visible" name="Audit Summary" sheetId="2" r:id="rId5"/>
    <sheet state="visible" name="Keyword Plan" sheetId="3" r:id="rId6"/>
    <sheet state="visible" name="30-Day Action Plan" sheetId="4" r:id="rId7"/>
    <sheet state="visible" name="Audit Notes" sheetId="5" r:id="rId8"/>
  </sheets>
  <definedNames>
    <definedName hidden="1" localSheetId="0" name="_xlnm._FilterDatabase">'Varunaassi SEO Audit'!$A$1:$J$36</definedName>
  </definedNames>
  <calcPr/>
</workbook>
</file>

<file path=xl/sharedStrings.xml><?xml version="1.0" encoding="utf-8"?>
<sst xmlns="http://schemas.openxmlformats.org/spreadsheetml/2006/main" count="524" uniqueCount="300">
  <si>
    <t>ID</t>
  </si>
  <si>
    <t>SEO Area</t>
  </si>
  <si>
    <t>Actual Check</t>
  </si>
  <si>
    <t>Varunaassi Finding</t>
  </si>
  <si>
    <t>Status</t>
  </si>
  <si>
    <t>Priority</t>
  </si>
  <si>
    <t>Recommended Action</t>
  </si>
  <si>
    <t>Target URL/Page</t>
  </si>
  <si>
    <t>SEO Impact</t>
  </si>
  <si>
    <t>Notes</t>
  </si>
  <si>
    <t>ON-01</t>
  </si>
  <si>
    <t>On-Page</t>
  </si>
  <si>
    <t>Homepage H1</t>
  </si>
  <si>
    <t>H1 is “Experience Varanasi As It Truly Is”; strong branding, but it does not clearly target the core trip-planning intent.</t>
  </si>
  <si>
    <t>Needs Improvement</t>
  </si>
  <si>
    <t>High</t>
  </si>
  <si>
    <t>Use an SEO-focused H1 such as “Plan Your Varanasi Trip With Local Experts”, while retaining the existing phrase as supporting copy.</t>
  </si>
  <si>
    <t>Homepage</t>
  </si>
  <si>
    <t>ON-02</t>
  </si>
  <si>
    <t>Homepage title tag</t>
  </si>
  <si>
    <t>Needs source-level verification.</t>
  </si>
  <si>
    <t>Needs Audit</t>
  </si>
  <si>
    <t>Critical</t>
  </si>
  <si>
    <t>Set a unique title around “Varanasi Trip Planner | Personalized Varanasi Tours &amp; Experiences” if current title is not optimized.</t>
  </si>
  <si>
    <t>ON-03</t>
  </si>
  <si>
    <t>Meta description</t>
  </si>
  <si>
    <t>Write a CTR-focused meta description mentioning personalized Varanasi trips, Ganga Aarti, boat rides, temples and Sarnath.</t>
  </si>
  <si>
    <t>ON-04</t>
  </si>
  <si>
    <t>Primary keyword focus</t>
  </si>
  <si>
    <t>Homepage covers many Varanasi experiences but lacks a clearly concentrated keyword architecture.</t>
  </si>
  <si>
    <t>Make “Varanasi trip planner” / “Varanasi travel planner” the main commercial theme and support it with experience keywords.</t>
  </si>
  <si>
    <t>ON-05</t>
  </si>
  <si>
    <t>Dedicated service pages</t>
  </si>
  <si>
    <t>Ganga Aarti, boat ride and food walk are presented on the homepage rather than as clearly separated SEO landing pages.</t>
  </si>
  <si>
    <t>Create dedicated pages for Ganga Aarti, Varanasi boat rides, food walks, temple tours, Sarnath and trip planning.</t>
  </si>
  <si>
    <t>New pages</t>
  </si>
  <si>
    <t>Very High</t>
  </si>
  <si>
    <t>ON-06</t>
  </si>
  <si>
    <t>Trip-format pages</t>
  </si>
  <si>
    <t>Short Varanasi Visit, Immersive Kashi and Extended Varanasi are useful commercial concepts but are embedded on the homepage.</t>
  </si>
  <si>
    <t>Create optimized landing pages for 1–2 day, 3–4 day and 5–7 day Varanasi itineraries.</t>
  </si>
  <si>
    <t>ON-07</t>
  </si>
  <si>
    <t>Location content</t>
  </si>
  <si>
    <t>Homepage includes Dashashwamedh, Assi Ghat, Manikarnika, Kashi Vishwanath, Sarnath, BHU and other locations.</t>
  </si>
  <si>
    <t>Pass</t>
  </si>
  <si>
    <t>Turn high-value locations into dedicated guides and internally link them to relevant experiences.</t>
  </si>
  <si>
    <t>Homepage + guides</t>
  </si>
  <si>
    <t>ON-08</t>
  </si>
  <si>
    <t>Internal linking</t>
  </si>
  <si>
    <t>Footer links to Experiences, Packages, Build Itinerary, About Us and Contact.</t>
  </si>
  <si>
    <t>Add contextual links from guides to commercial pages and from commercial pages to supporting guides.</t>
  </si>
  <si>
    <t>Sitewide</t>
  </si>
  <si>
    <t>ON-09</t>
  </si>
  <si>
    <t>Image ALT</t>
  </si>
  <si>
    <t>Images have descriptive labels/captions, but actual ALT attributes require source inspection.</t>
  </si>
  <si>
    <t>Medium</t>
  </si>
  <si>
    <t>Use descriptive ALT text for meaningful images, e.g. “Ganga Aarti at Dashashwamedh Ghat Varanasi”.</t>
  </si>
  <si>
    <t>CONTENT-01</t>
  </si>
  <si>
    <t>Content SEO</t>
  </si>
  <si>
    <t>Blog/content hub</t>
  </si>
  <si>
    <t>No visible blog/content hub was found on the inspected homepage.</t>
  </si>
  <si>
    <t>Create a Varanasi travel guide/blog section targeting informational and long-tail searches.</t>
  </si>
  <si>
    <t>/blog/ or /guides/</t>
  </si>
  <si>
    <t>CONTENT-02</t>
  </si>
  <si>
    <t>Keyword cluster</t>
  </si>
  <si>
    <t>Existing content naturally supports Ganga Aarti, boat rides, food, temples, Sarnath, ghats and itineraries.</t>
  </si>
  <si>
    <t>Build keyword clusters around these existing topics.</t>
  </si>
  <si>
    <t>CONTENT-03</t>
  </si>
  <si>
    <t>Long-tail content</t>
  </si>
  <si>
    <t>The service supports long-tail searches such as Varanasi 2-day itinerary and Varanasi trip for couples/families.</t>
  </si>
  <si>
    <t>Create intent-specific pages for couples, families, solo travellers, spiritual trips and NRI visitors.</t>
  </si>
  <si>
    <t>CONTENT-04</t>
  </si>
  <si>
    <t>E-E-A-T</t>
  </si>
  <si>
    <t>Site states “Local Varanasi Experts” and “We live and work here”; testimonials and local experience claims are present.</t>
  </si>
  <si>
    <t>Strengthen with named team members, author bios, experience details and original photos.</t>
  </si>
  <si>
    <t>About Us</t>
  </si>
  <si>
    <t>CONTENT-05</t>
  </si>
  <si>
    <t>Testimonials</t>
  </si>
  <si>
    <t>Four testimonial examples cover family, couple, solo/NRI and pilgrimage use cases.</t>
  </si>
  <si>
    <t>Add dates and verifiable review sources where genuinely available.</t>
  </si>
  <si>
    <t>LOCAL-01</t>
  </si>
  <si>
    <t>Local SEO</t>
  </si>
  <si>
    <t>Local relevance</t>
  </si>
  <si>
    <t>Website explicitly states Varanasi, India and presents itself as a Varanasi travel planning service.</t>
  </si>
  <si>
    <t>Build local entity signals through Google Business Profile and consistent citations.</t>
  </si>
  <si>
    <t>LOCAL-02</t>
  </si>
  <si>
    <t>NAP</t>
  </si>
  <si>
    <t>Footer lists Varunaassi, Varanasi, India, WhatsApp number and email.</t>
  </si>
  <si>
    <t>Keep Name/Address/Phone consistent across Google Business Profile and relevant directories.</t>
  </si>
  <si>
    <t>LOCAL-03</t>
  </si>
  <si>
    <t>Google Business Profile</t>
  </si>
  <si>
    <t>Cannot be verified from the website alone.</t>
  </si>
  <si>
    <t>Claim/optimize GBP if eligible; use correct category, services, photos, posts and genuine reviews.</t>
  </si>
  <si>
    <t>LOCAL-04</t>
  </si>
  <si>
    <t>Local landing pages</t>
  </si>
  <si>
    <t>Homepage has extensive Varanasi location content but no dedicated local landing architecture is evident.</t>
  </si>
  <si>
    <t>Create useful, non-spam pages around Varanasi trip planning and key experiences/locations.</t>
  </si>
  <si>
    <t>TECH-01</t>
  </si>
  <si>
    <t>Technical</t>
  </si>
  <si>
    <t>XML sitemap</t>
  </si>
  <si>
    <t>Not visible from homepage inspection.</t>
  </si>
  <si>
    <t>Check /sitemap.xml and submit it in Google Search Console.</t>
  </si>
  <si>
    <t>/sitemap.xml</t>
  </si>
  <si>
    <t>TECH-02</t>
  </si>
  <si>
    <t>Robots.txt</t>
  </si>
  <si>
    <t>Check /robots.txt; ensure important pages/resources are crawlable and sitemap is referenced.</t>
  </si>
  <si>
    <t>/robots.txt</t>
  </si>
  <si>
    <t>TECH-03</t>
  </si>
  <si>
    <t>Canonical tags</t>
  </si>
  <si>
    <t>Requires HTML/source inspection.</t>
  </si>
  <si>
    <t>Verify each indexable page has the correct canonical URL.</t>
  </si>
  <si>
    <t>TECH-04</t>
  </si>
  <si>
    <t>Indexability</t>
  </si>
  <si>
    <t>Homepage is publicly accessible; full site indexability needs Search Console verification.</t>
  </si>
  <si>
    <t>Check indexed URLs, noindex directives, manual actions and coverage reports.</t>
  </si>
  <si>
    <t>TECH-05</t>
  </si>
  <si>
    <t>Core Web Vitals</t>
  </si>
  <si>
    <t>Not measurable reliably from page text inspection alone.</t>
  </si>
  <si>
    <t>Run PageSpeed Insights and Search Console Core Web Vitals; optimize image payloads and JS if needed.</t>
  </si>
  <si>
    <t>TECH-06</t>
  </si>
  <si>
    <t>Mobile UX</t>
  </si>
  <si>
    <t>Responsive-style navigation/CTA structure is present, but real device testing is required.</t>
  </si>
  <si>
    <t>Test mobile menus, forms, CTA buttons, image loading and Core Web Vitals.</t>
  </si>
  <si>
    <t>TECH-07</t>
  </si>
  <si>
    <t>Structured data</t>
  </si>
  <si>
    <t>No schema validation was performed from page source.</t>
  </si>
  <si>
    <t>Add/validate relevant Organization/LocalBusiness, Breadcrumb and other appropriate schema.</t>
  </si>
  <si>
    <t>TECH-08</t>
  </si>
  <si>
    <t>URL architecture</t>
  </si>
  <si>
    <t>Footer exposes Experiences, Packages and Build Itinerary, suggesting useful site sections.</t>
  </si>
  <si>
    <t>Use short descriptive URLs such as /ganga-aarti-varanasi/ and /varanasi-itinerary/.</t>
  </si>
  <si>
    <t>TECH-09</t>
  </si>
  <si>
    <t>404/redirects</t>
  </si>
  <si>
    <t>Not tested across the full site.</t>
  </si>
  <si>
    <t>Run a crawl to identify 4xx/5xx pages, redirect chains and orphan pages.</t>
  </si>
  <si>
    <t>UX-01</t>
  </si>
  <si>
    <t>UX/CRO</t>
  </si>
  <si>
    <t>CTA</t>
  </si>
  <si>
    <t>Homepage has repeated CTAs such as Start Planning My Trip, Plan My Trip and Request a Free Call Back.</t>
  </si>
  <si>
    <t>Keep strong CTAs and track each primary conversion.</t>
  </si>
  <si>
    <t>UX-02</t>
  </si>
  <si>
    <t>Lead form</t>
  </si>
  <si>
    <t>Form collects name, WhatsApp number, email, dates, travellers and special requests.</t>
  </si>
  <si>
    <t>Track form starts/submissions and test mobile completion.</t>
  </si>
  <si>
    <t>UX-03</t>
  </si>
  <si>
    <t>Trust signals</t>
  </si>
  <si>
    <t>Local experts, WhatsApp-first planning, no payment/no booking pressure and testimonials are prominent.</t>
  </si>
  <si>
    <t>Continue emphasizing trust; add verifiable team/business proof where available.</t>
  </si>
  <si>
    <t>Homepage/About</t>
  </si>
  <si>
    <t>UX-04</t>
  </si>
  <si>
    <t>Privacy</t>
  </si>
  <si>
    <t>Privacy Policy is linked from the form.</t>
  </si>
  <si>
    <t>Verify policy is complete and matches actual data collection.</t>
  </si>
  <si>
    <t>Privacy Policy</t>
  </si>
  <si>
    <t>OFF-01</t>
  </si>
  <si>
    <t>Off-Page</t>
  </si>
  <si>
    <t>Backlink profile</t>
  </si>
  <si>
    <t>Cannot be measured from the website alone.</t>
  </si>
  <si>
    <t>Use a backlink tool plus Search Console to assess referring domains and link quality.</t>
  </si>
  <si>
    <t>Domain</t>
  </si>
  <si>
    <t>OFF-02</t>
  </si>
  <si>
    <t>Link-building assets</t>
  </si>
  <si>
    <t>The site has strong potential assets: Varanasi guides, itineraries, ghat guides and local experience content.</t>
  </si>
  <si>
    <t>Publish useful guides and promote them to travel publications, bloggers, hotels and local sites.</t>
  </si>
  <si>
    <t>Content hub</t>
  </si>
  <si>
    <t>AN-01</t>
  </si>
  <si>
    <t>Analytics</t>
  </si>
  <si>
    <t>Google Search Console</t>
  </si>
  <si>
    <t>Cannot be verified from public website inspection.</t>
  </si>
  <si>
    <t>Verify property and monitor queries, pages, indexing, CTR, positions and Core Web Vitals.</t>
  </si>
  <si>
    <t>GSC</t>
  </si>
  <si>
    <t>AN-02</t>
  </si>
  <si>
    <t>GA4/conversion tracking</t>
  </si>
  <si>
    <t>Cannot be verified from page content alone.</t>
  </si>
  <si>
    <t>Track form submission, WhatsApp click, email click and primary CTA conversions.</t>
  </si>
  <si>
    <t>GA4</t>
  </si>
  <si>
    <t>VARUNAASSI.COM — SEO AUDIT SUMMARY</t>
  </si>
  <si>
    <t>Website</t>
  </si>
  <si>
    <t>https://www.varunaassi.com/</t>
  </si>
  <si>
    <t>Audit basis</t>
  </si>
  <si>
    <t>Publicly visible website content reviewed on 11 Sep 2026. Source-level/third-party checks are marked Needs Audit rather than guessed.</t>
  </si>
  <si>
    <t>Metric</t>
  </si>
  <si>
    <t>Count</t>
  </si>
  <si>
    <t>Total checks</t>
  </si>
  <si>
    <t>Fail</t>
  </si>
  <si>
    <t>High/Critical Priority</t>
  </si>
  <si>
    <t>TOP PRIORITIES</t>
  </si>
  <si>
    <t>1</t>
  </si>
  <si>
    <t>Create dedicated SEO landing pages for key experiences and itineraries.</t>
  </si>
  <si>
    <t>2</t>
  </si>
  <si>
    <t>Build a Varanasi travel content hub targeting informational + long-tail keywords.</t>
  </si>
  <si>
    <t>3</t>
  </si>
  <si>
    <t>Strengthen homepage keyword targeting around “Varanasi trip planner”.</t>
  </si>
  <si>
    <t>4</t>
  </si>
  <si>
    <t>Verify/optimize Google Business Profile and local SEO signals.</t>
  </si>
  <si>
    <t>5</t>
  </si>
  <si>
    <t>Check sitemap, robots.txt, canonicals, indexability, speed and schema.</t>
  </si>
  <si>
    <t>6</t>
  </si>
  <si>
    <t>Set up/verify Search Console, GA4 and conversion tracking.</t>
  </si>
  <si>
    <t>Keyword Cluster</t>
  </si>
  <si>
    <t>Example Target Keyword</t>
  </si>
  <si>
    <t>Intent</t>
  </si>
  <si>
    <t>Recommended Page</t>
  </si>
  <si>
    <t>Why It Fits Varunaassi</t>
  </si>
  <si>
    <t>Core commercial</t>
  </si>
  <si>
    <t>Varanasi trip planner</t>
  </si>
  <si>
    <t>Commercial</t>
  </si>
  <si>
    <t>/varanasi-trip-planner/</t>
  </si>
  <si>
    <t>Directly matches the personalized planning proposition.</t>
  </si>
  <si>
    <t>Varanasi travel planner</t>
  </si>
  <si>
    <t>Strong semantic variation of the core service.</t>
  </si>
  <si>
    <t>Varanasi tour packages</t>
  </si>
  <si>
    <t>/varanasi-tour-packages/</t>
  </si>
  <si>
    <t>Existing trip formats can become a clearer landing page.</t>
  </si>
  <si>
    <t>Experience</t>
  </si>
  <si>
    <t>Ganga Aarti Varanasi</t>
  </si>
  <si>
    <t>Transactional/Informational</t>
  </si>
  <si>
    <t>/ganga-aarti-varanasi/</t>
  </si>
  <si>
    <t>Existing Ganga Aarti experience is prominent.</t>
  </si>
  <si>
    <t>Varanasi boat ride</t>
  </si>
  <si>
    <t>Transactional</t>
  </si>
  <si>
    <t>/varanasi-boat-ride/</t>
  </si>
  <si>
    <t>Existing dawn boat experience supports this service topic.</t>
  </si>
  <si>
    <t>Varanasi food tour</t>
  </si>
  <si>
    <t>/varanasi-food-tour/</t>
  </si>
  <si>
    <t>Existing Old City Food Walk supports this.</t>
  </si>
  <si>
    <t>Sarnath tour from Varanasi</t>
  </si>
  <si>
    <t>/sarnath-tour/</t>
  </si>
  <si>
    <t>Sarnath is already included in trip formats.</t>
  </si>
  <si>
    <t>Informational</t>
  </si>
  <si>
    <t>things to do in Varanasi</t>
  </si>
  <si>
    <t>/things-to-do-in-varanasi/</t>
  </si>
  <si>
    <t>Homepage covers many activities suitable for a comprehensive guide.</t>
  </si>
  <si>
    <t>Varanasi itinerary</t>
  </si>
  <si>
    <t>Informational/Commercial</t>
  </si>
  <si>
    <t>/varanasi-itinerary/</t>
  </si>
  <si>
    <t>Core to the personalized planning service.</t>
  </si>
  <si>
    <t>Long-tail</t>
  </si>
  <si>
    <t>Varanasi 2 day itinerary</t>
  </si>
  <si>
    <t>/varanasi-2-day-itinerary/</t>
  </si>
  <si>
    <t>Matches Short Varanasi Visit.</t>
  </si>
  <si>
    <t>Varanasi 3 day itinerary</t>
  </si>
  <si>
    <t>/varanasi-3-day-itinerary/</t>
  </si>
  <si>
    <t>Matches common travel-planning intent.</t>
  </si>
  <si>
    <t>Varanasi 4 day itinerary</t>
  </si>
  <si>
    <t>/varanasi-4-day-itinerary/</t>
  </si>
  <si>
    <t>Matches Immersive Kashi.</t>
  </si>
  <si>
    <t>Audience</t>
  </si>
  <si>
    <t>Varanasi trip for couples</t>
  </si>
  <si>
    <t>/varanasi-trip-for-couples/</t>
  </si>
  <si>
    <t>Existing couple testimonial supports this segment.</t>
  </si>
  <si>
    <t>Varanasi family trip</t>
  </si>
  <si>
    <t>/varanasi-family-trip/</t>
  </si>
  <si>
    <t>Existing family testimonials support this segment.</t>
  </si>
  <si>
    <t>Varanasi solo trip</t>
  </si>
  <si>
    <t>/varanasi-solo-trip/</t>
  </si>
  <si>
    <t>Existing solo/NRI testimonial supports this segment.</t>
  </si>
  <si>
    <t>Local</t>
  </si>
  <si>
    <t>Assi Ghat Varanasi</t>
  </si>
  <si>
    <t>Informational/Local</t>
  </si>
  <si>
    <t>/assi-ghat-varanasi/</t>
  </si>
  <si>
    <t>Existing location content can become a useful local guide.</t>
  </si>
  <si>
    <t>Kashi Vishwanath Temple guide</t>
  </si>
  <si>
    <t>/kashi-vishwanath-temple/</t>
  </si>
  <si>
    <t>Existing location content supports a detailed guide.</t>
  </si>
  <si>
    <t>Week</t>
  </si>
  <si>
    <t>Task</t>
  </si>
  <si>
    <t>Deliverable</t>
  </si>
  <si>
    <t>Week 1</t>
  </si>
  <si>
    <t>Technical baseline</t>
  </si>
  <si>
    <t>GSC + GA4 verification, sitemap/robots/canonical/indexability check, PageSpeed baseline</t>
  </si>
  <si>
    <t>Not Started</t>
  </si>
  <si>
    <t>Keyword research</t>
  </si>
  <si>
    <t>Finalize keyword map for homepage, experiences, itineraries and content hub</t>
  </si>
  <si>
    <t>On-page baseline</t>
  </si>
  <si>
    <t>Audit titles, meta descriptions, H1/H2, URLs and image ALT attributes</t>
  </si>
  <si>
    <t>Week 2</t>
  </si>
  <si>
    <t>Commercial pages</t>
  </si>
  <si>
    <t>Create Varanasi Trip Planner + Ganga Aarti + Boat Ride + Food Tour pages</t>
  </si>
  <si>
    <t>Itinerary pages</t>
  </si>
  <si>
    <t>Create 2-day, 3-day, 4-day and 5–7 day itinerary pages</t>
  </si>
  <si>
    <t>Week 3</t>
  </si>
  <si>
    <t>Publish 4–6 high-intent Varanasi guides and connect them with internal links</t>
  </si>
  <si>
    <t>Optimize GBP, categories, services, photos and genuine review process</t>
  </si>
  <si>
    <t>Week 4</t>
  </si>
  <si>
    <t>Schema + UX</t>
  </si>
  <si>
    <t>Validate structured data, breadcrumbs, CTA tracking and mobile UX</t>
  </si>
  <si>
    <t>Link building</t>
  </si>
  <si>
    <t>Create outreach list for travel sites, local businesses, hotels, bloggers and publications</t>
  </si>
  <si>
    <t>Reporting</t>
  </si>
  <si>
    <t>Create baseline rankings, clicks, impressions, CTR, leads and next-month priorities</t>
  </si>
  <si>
    <t>Scope</t>
  </si>
  <si>
    <t>Details</t>
  </si>
  <si>
    <t>Website reviewed</t>
  </si>
  <si>
    <t>Observed</t>
  </si>
  <si>
    <t>Homepage includes personalized Varanasi trip planning, Ganga Aarti, dawn boat ride, food walk, trip formats, ghats/temples/Sarnath/BHU and other locations, testimonials, lead form, About/Contact/Privacy links and WhatsApp contact.</t>
  </si>
  <si>
    <t>Limitation</t>
  </si>
  <si>
    <t>Public-page inspection cannot reliably confirm HTML title/meta tags, robots.txt, XML sitemap, canonical tags, schema validation, GA4/GSC configuration, backlinks or actual Core Web Vitals. These are marked Needs Audit rather than guessed.</t>
  </si>
  <si>
    <t>Suggested tools</t>
  </si>
  <si>
    <t>Google Search Console, GA4, PageSpeed Insights, Rich Results Test, Screaming Frog/Sitebulb and a backlink/keyword tool.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</si>
</sst>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2" fontId="1" numFmtId="0" xfId="0" applyBorder="1" applyFill="1" applyFont="1"/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28.0"/>
    <col customWidth="1" min="4" max="4" width="62.0"/>
    <col customWidth="1" min="5" max="5" width="20.0"/>
    <col customWidth="1" min="6" max="6" width="14.0"/>
    <col customWidth="1" min="7" max="7" width="62.0"/>
    <col customWidth="1" min="8" max="8" width="32.0"/>
    <col customWidth="1" min="9" max="9" width="16.0"/>
    <col customWidth="1" min="10" max="10" width="28.0"/>
    <col customWidth="1" min="1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15</v>
      </c>
      <c r="J2" s="2"/>
    </row>
    <row r="3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17</v>
      </c>
      <c r="I3" s="2" t="s">
        <v>15</v>
      </c>
      <c r="J3" s="2"/>
    </row>
    <row r="4">
      <c r="A4" s="2" t="s">
        <v>24</v>
      </c>
      <c r="B4" s="2" t="s">
        <v>11</v>
      </c>
      <c r="C4" s="2" t="s">
        <v>25</v>
      </c>
      <c r="D4" s="2" t="s">
        <v>20</v>
      </c>
      <c r="E4" s="2" t="s">
        <v>21</v>
      </c>
      <c r="F4" s="2" t="s">
        <v>15</v>
      </c>
      <c r="G4" s="2" t="s">
        <v>26</v>
      </c>
      <c r="H4" s="2" t="s">
        <v>17</v>
      </c>
      <c r="I4" s="2" t="s">
        <v>15</v>
      </c>
      <c r="J4" s="2"/>
    </row>
    <row r="5">
      <c r="A5" s="2" t="s">
        <v>27</v>
      </c>
      <c r="B5" s="2" t="s">
        <v>11</v>
      </c>
      <c r="C5" s="2" t="s">
        <v>28</v>
      </c>
      <c r="D5" s="2" t="s">
        <v>29</v>
      </c>
      <c r="E5" s="2" t="s">
        <v>14</v>
      </c>
      <c r="F5" s="2" t="s">
        <v>22</v>
      </c>
      <c r="G5" s="2" t="s">
        <v>30</v>
      </c>
      <c r="H5" s="2" t="s">
        <v>17</v>
      </c>
      <c r="I5" s="2" t="s">
        <v>15</v>
      </c>
      <c r="J5" s="2"/>
    </row>
    <row r="6">
      <c r="A6" s="2" t="s">
        <v>31</v>
      </c>
      <c r="B6" s="2" t="s">
        <v>11</v>
      </c>
      <c r="C6" s="2" t="s">
        <v>32</v>
      </c>
      <c r="D6" s="2" t="s">
        <v>33</v>
      </c>
      <c r="E6" s="2" t="s">
        <v>14</v>
      </c>
      <c r="F6" s="2" t="s">
        <v>22</v>
      </c>
      <c r="G6" s="2" t="s">
        <v>34</v>
      </c>
      <c r="H6" s="2" t="s">
        <v>35</v>
      </c>
      <c r="I6" s="2" t="s">
        <v>36</v>
      </c>
      <c r="J6" s="2"/>
    </row>
    <row r="7">
      <c r="A7" s="2" t="s">
        <v>37</v>
      </c>
      <c r="B7" s="2" t="s">
        <v>11</v>
      </c>
      <c r="C7" s="2" t="s">
        <v>38</v>
      </c>
      <c r="D7" s="2" t="s">
        <v>39</v>
      </c>
      <c r="E7" s="2" t="s">
        <v>14</v>
      </c>
      <c r="F7" s="2" t="s">
        <v>15</v>
      </c>
      <c r="G7" s="2" t="s">
        <v>40</v>
      </c>
      <c r="H7" s="2" t="s">
        <v>35</v>
      </c>
      <c r="I7" s="2" t="s">
        <v>15</v>
      </c>
      <c r="J7" s="2"/>
    </row>
    <row r="8">
      <c r="A8" s="2" t="s">
        <v>41</v>
      </c>
      <c r="B8" s="2" t="s">
        <v>11</v>
      </c>
      <c r="C8" s="2" t="s">
        <v>42</v>
      </c>
      <c r="D8" s="2" t="s">
        <v>43</v>
      </c>
      <c r="E8" s="2" t="s">
        <v>44</v>
      </c>
      <c r="F8" s="2" t="s">
        <v>15</v>
      </c>
      <c r="G8" s="2" t="s">
        <v>45</v>
      </c>
      <c r="H8" s="2" t="s">
        <v>46</v>
      </c>
      <c r="I8" s="2" t="s">
        <v>15</v>
      </c>
      <c r="J8" s="2"/>
    </row>
    <row r="9">
      <c r="A9" s="2" t="s">
        <v>47</v>
      </c>
      <c r="B9" s="2" t="s">
        <v>11</v>
      </c>
      <c r="C9" s="2" t="s">
        <v>48</v>
      </c>
      <c r="D9" s="2" t="s">
        <v>49</v>
      </c>
      <c r="E9" s="2" t="s">
        <v>14</v>
      </c>
      <c r="F9" s="2" t="s">
        <v>15</v>
      </c>
      <c r="G9" s="2" t="s">
        <v>50</v>
      </c>
      <c r="H9" s="2" t="s">
        <v>51</v>
      </c>
      <c r="I9" s="2" t="s">
        <v>15</v>
      </c>
      <c r="J9" s="2"/>
    </row>
    <row r="10">
      <c r="A10" s="2" t="s">
        <v>52</v>
      </c>
      <c r="B10" s="2" t="s">
        <v>11</v>
      </c>
      <c r="C10" s="2" t="s">
        <v>53</v>
      </c>
      <c r="D10" s="2" t="s">
        <v>54</v>
      </c>
      <c r="E10" s="2" t="s">
        <v>21</v>
      </c>
      <c r="F10" s="2" t="s">
        <v>55</v>
      </c>
      <c r="G10" s="2" t="s">
        <v>56</v>
      </c>
      <c r="H10" s="2" t="s">
        <v>51</v>
      </c>
      <c r="I10" s="2" t="s">
        <v>55</v>
      </c>
      <c r="J10" s="2"/>
    </row>
    <row r="1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14</v>
      </c>
      <c r="F11" s="2" t="s">
        <v>22</v>
      </c>
      <c r="G11" s="2" t="s">
        <v>61</v>
      </c>
      <c r="H11" s="2" t="s">
        <v>62</v>
      </c>
      <c r="I11" s="2" t="s">
        <v>36</v>
      </c>
      <c r="J11" s="2"/>
    </row>
    <row r="12">
      <c r="A12" s="2" t="s">
        <v>63</v>
      </c>
      <c r="B12" s="2" t="s">
        <v>58</v>
      </c>
      <c r="C12" s="2" t="s">
        <v>64</v>
      </c>
      <c r="D12" s="2" t="s">
        <v>65</v>
      </c>
      <c r="E12" s="2" t="s">
        <v>44</v>
      </c>
      <c r="F12" s="2" t="s">
        <v>15</v>
      </c>
      <c r="G12" s="2" t="s">
        <v>66</v>
      </c>
      <c r="H12" s="2" t="s">
        <v>51</v>
      </c>
      <c r="I12" s="2" t="s">
        <v>15</v>
      </c>
      <c r="J12" s="2"/>
    </row>
    <row r="13">
      <c r="A13" s="2" t="s">
        <v>67</v>
      </c>
      <c r="B13" s="2" t="s">
        <v>58</v>
      </c>
      <c r="C13" s="2" t="s">
        <v>68</v>
      </c>
      <c r="D13" s="2" t="s">
        <v>69</v>
      </c>
      <c r="E13" s="2" t="s">
        <v>14</v>
      </c>
      <c r="F13" s="2" t="s">
        <v>15</v>
      </c>
      <c r="G13" s="2" t="s">
        <v>70</v>
      </c>
      <c r="H13" s="2" t="s">
        <v>35</v>
      </c>
      <c r="I13" s="2" t="s">
        <v>15</v>
      </c>
      <c r="J13" s="2"/>
    </row>
    <row r="14">
      <c r="A14" s="2" t="s">
        <v>71</v>
      </c>
      <c r="B14" s="2" t="s">
        <v>58</v>
      </c>
      <c r="C14" s="2" t="s">
        <v>72</v>
      </c>
      <c r="D14" s="2" t="s">
        <v>73</v>
      </c>
      <c r="E14" s="2" t="s">
        <v>44</v>
      </c>
      <c r="F14" s="2" t="s">
        <v>15</v>
      </c>
      <c r="G14" s="2" t="s">
        <v>74</v>
      </c>
      <c r="H14" s="2" t="s">
        <v>75</v>
      </c>
      <c r="I14" s="2" t="s">
        <v>15</v>
      </c>
      <c r="J14" s="2"/>
    </row>
    <row r="15">
      <c r="A15" s="2" t="s">
        <v>76</v>
      </c>
      <c r="B15" s="2" t="s">
        <v>58</v>
      </c>
      <c r="C15" s="2" t="s">
        <v>77</v>
      </c>
      <c r="D15" s="2" t="s">
        <v>78</v>
      </c>
      <c r="E15" s="2" t="s">
        <v>44</v>
      </c>
      <c r="F15" s="2" t="s">
        <v>55</v>
      </c>
      <c r="G15" s="2" t="s">
        <v>79</v>
      </c>
      <c r="H15" s="2" t="s">
        <v>17</v>
      </c>
      <c r="I15" s="2" t="s">
        <v>55</v>
      </c>
      <c r="J15" s="2"/>
    </row>
    <row r="16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44</v>
      </c>
      <c r="F16" s="2" t="s">
        <v>15</v>
      </c>
      <c r="G16" s="2" t="s">
        <v>84</v>
      </c>
      <c r="H16" s="2" t="s">
        <v>51</v>
      </c>
      <c r="I16" s="2" t="s">
        <v>15</v>
      </c>
      <c r="J16" s="2"/>
    </row>
    <row r="17">
      <c r="A17" s="2" t="s">
        <v>85</v>
      </c>
      <c r="B17" s="2" t="s">
        <v>81</v>
      </c>
      <c r="C17" s="2" t="s">
        <v>86</v>
      </c>
      <c r="D17" s="2" t="s">
        <v>87</v>
      </c>
      <c r="E17" s="2" t="s">
        <v>44</v>
      </c>
      <c r="F17" s="2" t="s">
        <v>15</v>
      </c>
      <c r="G17" s="2" t="s">
        <v>88</v>
      </c>
      <c r="H17" s="2" t="s">
        <v>51</v>
      </c>
      <c r="I17" s="2" t="s">
        <v>15</v>
      </c>
      <c r="J17" s="2"/>
    </row>
    <row r="18">
      <c r="A18" s="2" t="s">
        <v>89</v>
      </c>
      <c r="B18" s="2" t="s">
        <v>81</v>
      </c>
      <c r="C18" s="2" t="s">
        <v>90</v>
      </c>
      <c r="D18" s="2" t="s">
        <v>91</v>
      </c>
      <c r="E18" s="2" t="s">
        <v>21</v>
      </c>
      <c r="F18" s="2" t="s">
        <v>22</v>
      </c>
      <c r="G18" s="2" t="s">
        <v>92</v>
      </c>
      <c r="H18" s="2" t="s">
        <v>90</v>
      </c>
      <c r="I18" s="2" t="s">
        <v>36</v>
      </c>
      <c r="J18" s="2"/>
    </row>
    <row r="19">
      <c r="A19" s="2" t="s">
        <v>93</v>
      </c>
      <c r="B19" s="2" t="s">
        <v>81</v>
      </c>
      <c r="C19" s="2" t="s">
        <v>94</v>
      </c>
      <c r="D19" s="2" t="s">
        <v>95</v>
      </c>
      <c r="E19" s="2" t="s">
        <v>14</v>
      </c>
      <c r="F19" s="2" t="s">
        <v>15</v>
      </c>
      <c r="G19" s="2" t="s">
        <v>96</v>
      </c>
      <c r="H19" s="2" t="s">
        <v>35</v>
      </c>
      <c r="I19" s="2" t="s">
        <v>15</v>
      </c>
      <c r="J19" s="2"/>
    </row>
    <row r="20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21</v>
      </c>
      <c r="F20" s="2" t="s">
        <v>22</v>
      </c>
      <c r="G20" s="2" t="s">
        <v>101</v>
      </c>
      <c r="H20" s="2" t="s">
        <v>102</v>
      </c>
      <c r="I20" s="2" t="s">
        <v>15</v>
      </c>
      <c r="J20" s="2"/>
    </row>
    <row r="21" ht="15.75" customHeight="1">
      <c r="A21" s="2" t="s">
        <v>103</v>
      </c>
      <c r="B21" s="2" t="s">
        <v>98</v>
      </c>
      <c r="C21" s="2" t="s">
        <v>104</v>
      </c>
      <c r="D21" s="2" t="s">
        <v>100</v>
      </c>
      <c r="E21" s="2" t="s">
        <v>21</v>
      </c>
      <c r="F21" s="2" t="s">
        <v>15</v>
      </c>
      <c r="G21" s="2" t="s">
        <v>105</v>
      </c>
      <c r="H21" s="2" t="s">
        <v>106</v>
      </c>
      <c r="I21" s="2" t="s">
        <v>15</v>
      </c>
      <c r="J21" s="2"/>
    </row>
    <row r="22" ht="15.75" customHeight="1">
      <c r="A22" s="2" t="s">
        <v>107</v>
      </c>
      <c r="B22" s="2" t="s">
        <v>98</v>
      </c>
      <c r="C22" s="2" t="s">
        <v>108</v>
      </c>
      <c r="D22" s="2" t="s">
        <v>109</v>
      </c>
      <c r="E22" s="2" t="s">
        <v>21</v>
      </c>
      <c r="F22" s="2" t="s">
        <v>15</v>
      </c>
      <c r="G22" s="2" t="s">
        <v>110</v>
      </c>
      <c r="H22" s="2" t="s">
        <v>51</v>
      </c>
      <c r="I22" s="2" t="s">
        <v>15</v>
      </c>
      <c r="J22" s="2"/>
    </row>
    <row r="23" ht="15.75" customHeight="1">
      <c r="A23" s="2" t="s">
        <v>111</v>
      </c>
      <c r="B23" s="2" t="s">
        <v>98</v>
      </c>
      <c r="C23" s="2" t="s">
        <v>112</v>
      </c>
      <c r="D23" s="2" t="s">
        <v>113</v>
      </c>
      <c r="E23" s="2" t="s">
        <v>21</v>
      </c>
      <c r="F23" s="2" t="s">
        <v>22</v>
      </c>
      <c r="G23" s="2" t="s">
        <v>114</v>
      </c>
      <c r="H23" s="2" t="s">
        <v>51</v>
      </c>
      <c r="I23" s="2" t="s">
        <v>36</v>
      </c>
      <c r="J23" s="2"/>
    </row>
    <row r="24" ht="15.75" customHeight="1">
      <c r="A24" s="2" t="s">
        <v>115</v>
      </c>
      <c r="B24" s="2" t="s">
        <v>98</v>
      </c>
      <c r="C24" s="2" t="s">
        <v>116</v>
      </c>
      <c r="D24" s="2" t="s">
        <v>117</v>
      </c>
      <c r="E24" s="2" t="s">
        <v>21</v>
      </c>
      <c r="F24" s="2" t="s">
        <v>15</v>
      </c>
      <c r="G24" s="2" t="s">
        <v>118</v>
      </c>
      <c r="H24" s="2" t="s">
        <v>51</v>
      </c>
      <c r="I24" s="2" t="s">
        <v>15</v>
      </c>
      <c r="J24" s="2"/>
    </row>
    <row r="25" ht="15.75" customHeight="1">
      <c r="A25" s="2" t="s">
        <v>119</v>
      </c>
      <c r="B25" s="2" t="s">
        <v>98</v>
      </c>
      <c r="C25" s="2" t="s">
        <v>120</v>
      </c>
      <c r="D25" s="2" t="s">
        <v>121</v>
      </c>
      <c r="E25" s="2" t="s">
        <v>21</v>
      </c>
      <c r="F25" s="2" t="s">
        <v>15</v>
      </c>
      <c r="G25" s="2" t="s">
        <v>122</v>
      </c>
      <c r="H25" s="2" t="s">
        <v>51</v>
      </c>
      <c r="I25" s="2" t="s">
        <v>15</v>
      </c>
      <c r="J25" s="2"/>
    </row>
    <row r="26" ht="15.75" customHeight="1">
      <c r="A26" s="2" t="s">
        <v>123</v>
      </c>
      <c r="B26" s="2" t="s">
        <v>98</v>
      </c>
      <c r="C26" s="2" t="s">
        <v>124</v>
      </c>
      <c r="D26" s="2" t="s">
        <v>125</v>
      </c>
      <c r="E26" s="2" t="s">
        <v>21</v>
      </c>
      <c r="F26" s="2" t="s">
        <v>55</v>
      </c>
      <c r="G26" s="2" t="s">
        <v>126</v>
      </c>
      <c r="H26" s="2" t="s">
        <v>51</v>
      </c>
      <c r="I26" s="2" t="s">
        <v>55</v>
      </c>
      <c r="J26" s="2"/>
    </row>
    <row r="27" ht="15.75" customHeight="1">
      <c r="A27" s="2" t="s">
        <v>127</v>
      </c>
      <c r="B27" s="2" t="s">
        <v>98</v>
      </c>
      <c r="C27" s="2" t="s">
        <v>128</v>
      </c>
      <c r="D27" s="2" t="s">
        <v>129</v>
      </c>
      <c r="E27" s="2" t="s">
        <v>14</v>
      </c>
      <c r="F27" s="2" t="s">
        <v>15</v>
      </c>
      <c r="G27" s="2" t="s">
        <v>130</v>
      </c>
      <c r="H27" s="2" t="s">
        <v>51</v>
      </c>
      <c r="I27" s="2" t="s">
        <v>15</v>
      </c>
      <c r="J27" s="2"/>
    </row>
    <row r="28" ht="15.75" customHeight="1">
      <c r="A28" s="2" t="s">
        <v>131</v>
      </c>
      <c r="B28" s="2" t="s">
        <v>98</v>
      </c>
      <c r="C28" s="2" t="s">
        <v>132</v>
      </c>
      <c r="D28" s="2" t="s">
        <v>133</v>
      </c>
      <c r="E28" s="2" t="s">
        <v>21</v>
      </c>
      <c r="F28" s="2" t="s">
        <v>55</v>
      </c>
      <c r="G28" s="2" t="s">
        <v>134</v>
      </c>
      <c r="H28" s="2" t="s">
        <v>51</v>
      </c>
      <c r="I28" s="2" t="s">
        <v>55</v>
      </c>
      <c r="J28" s="2"/>
    </row>
    <row r="29" ht="15.75" customHeight="1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44</v>
      </c>
      <c r="F29" s="2" t="s">
        <v>15</v>
      </c>
      <c r="G29" s="2" t="s">
        <v>139</v>
      </c>
      <c r="H29" s="2" t="s">
        <v>17</v>
      </c>
      <c r="I29" s="2" t="s">
        <v>15</v>
      </c>
      <c r="J29" s="2"/>
    </row>
    <row r="30" ht="15.75" customHeight="1">
      <c r="A30" s="2" t="s">
        <v>140</v>
      </c>
      <c r="B30" s="2" t="s">
        <v>136</v>
      </c>
      <c r="C30" s="2" t="s">
        <v>141</v>
      </c>
      <c r="D30" s="2" t="s">
        <v>142</v>
      </c>
      <c r="E30" s="2" t="s">
        <v>44</v>
      </c>
      <c r="F30" s="2" t="s">
        <v>15</v>
      </c>
      <c r="G30" s="2" t="s">
        <v>143</v>
      </c>
      <c r="H30" s="2" t="s">
        <v>17</v>
      </c>
      <c r="I30" s="2" t="s">
        <v>15</v>
      </c>
      <c r="J30" s="2"/>
    </row>
    <row r="31" ht="15.75" customHeight="1">
      <c r="A31" s="2" t="s">
        <v>144</v>
      </c>
      <c r="B31" s="2" t="s">
        <v>136</v>
      </c>
      <c r="C31" s="2" t="s">
        <v>145</v>
      </c>
      <c r="D31" s="2" t="s">
        <v>146</v>
      </c>
      <c r="E31" s="2" t="s">
        <v>44</v>
      </c>
      <c r="F31" s="2" t="s">
        <v>15</v>
      </c>
      <c r="G31" s="2" t="s">
        <v>147</v>
      </c>
      <c r="H31" s="2" t="s">
        <v>148</v>
      </c>
      <c r="I31" s="2" t="s">
        <v>15</v>
      </c>
      <c r="J31" s="2"/>
    </row>
    <row r="32" ht="15.75" customHeight="1">
      <c r="A32" s="2" t="s">
        <v>149</v>
      </c>
      <c r="B32" s="2" t="s">
        <v>136</v>
      </c>
      <c r="C32" s="2" t="s">
        <v>150</v>
      </c>
      <c r="D32" s="2" t="s">
        <v>151</v>
      </c>
      <c r="E32" s="2" t="s">
        <v>44</v>
      </c>
      <c r="F32" s="2" t="s">
        <v>55</v>
      </c>
      <c r="G32" s="2" t="s">
        <v>152</v>
      </c>
      <c r="H32" s="2" t="s">
        <v>153</v>
      </c>
      <c r="I32" s="2" t="s">
        <v>55</v>
      </c>
      <c r="J32" s="2"/>
    </row>
    <row r="33" ht="15.75" customHeight="1">
      <c r="A33" s="2" t="s">
        <v>154</v>
      </c>
      <c r="B33" s="2" t="s">
        <v>155</v>
      </c>
      <c r="C33" s="2" t="s">
        <v>156</v>
      </c>
      <c r="D33" s="2" t="s">
        <v>157</v>
      </c>
      <c r="E33" s="2" t="s">
        <v>21</v>
      </c>
      <c r="F33" s="2" t="s">
        <v>15</v>
      </c>
      <c r="G33" s="2" t="s">
        <v>158</v>
      </c>
      <c r="H33" s="2" t="s">
        <v>159</v>
      </c>
      <c r="I33" s="2" t="s">
        <v>15</v>
      </c>
      <c r="J33" s="2"/>
    </row>
    <row r="34" ht="15.75" customHeight="1">
      <c r="A34" s="2" t="s">
        <v>160</v>
      </c>
      <c r="B34" s="2" t="s">
        <v>155</v>
      </c>
      <c r="C34" s="2" t="s">
        <v>161</v>
      </c>
      <c r="D34" s="2" t="s">
        <v>162</v>
      </c>
      <c r="E34" s="2" t="s">
        <v>14</v>
      </c>
      <c r="F34" s="2" t="s">
        <v>15</v>
      </c>
      <c r="G34" s="2" t="s">
        <v>163</v>
      </c>
      <c r="H34" s="2" t="s">
        <v>164</v>
      </c>
      <c r="I34" s="2" t="s">
        <v>15</v>
      </c>
      <c r="J34" s="2"/>
    </row>
    <row r="35" ht="15.75" customHeight="1">
      <c r="A35" s="2" t="s">
        <v>165</v>
      </c>
      <c r="B35" s="2" t="s">
        <v>166</v>
      </c>
      <c r="C35" s="2" t="s">
        <v>167</v>
      </c>
      <c r="D35" s="2" t="s">
        <v>168</v>
      </c>
      <c r="E35" s="2" t="s">
        <v>21</v>
      </c>
      <c r="F35" s="2" t="s">
        <v>22</v>
      </c>
      <c r="G35" s="2" t="s">
        <v>169</v>
      </c>
      <c r="H35" s="2" t="s">
        <v>170</v>
      </c>
      <c r="I35" s="2" t="s">
        <v>36</v>
      </c>
      <c r="J35" s="2"/>
    </row>
    <row r="36" ht="15.75" customHeight="1">
      <c r="A36" s="2" t="s">
        <v>171</v>
      </c>
      <c r="B36" s="2" t="s">
        <v>166</v>
      </c>
      <c r="C36" s="2" t="s">
        <v>172</v>
      </c>
      <c r="D36" s="2" t="s">
        <v>173</v>
      </c>
      <c r="E36" s="2" t="s">
        <v>21</v>
      </c>
      <c r="F36" s="2" t="s">
        <v>22</v>
      </c>
      <c r="G36" s="2" t="s">
        <v>174</v>
      </c>
      <c r="H36" s="2" t="s">
        <v>175</v>
      </c>
      <c r="I36" s="2" t="s">
        <v>36</v>
      </c>
      <c r="J36" s="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36"/>
  <conditionalFormatting sqref="E2:E36">
    <cfRule type="expression" dxfId="0" priority="1">
      <formula>$E2="Pass"</formula>
    </cfRule>
  </conditionalFormatting>
  <conditionalFormatting sqref="E2:E36">
    <cfRule type="expression" dxfId="1" priority="2">
      <formula>$E2="Needs Improvement"</formula>
    </cfRule>
  </conditionalFormatting>
  <conditionalFormatting sqref="E2:E36">
    <cfRule type="expression" dxfId="1" priority="3">
      <formula>$E2="Needs Audit"</formula>
    </cfRule>
  </conditionalFormatting>
  <conditionalFormatting sqref="E2:E36">
    <cfRule type="expression" dxfId="2" priority="4">
      <formula>$E2="Fail"</formula>
    </cfRule>
  </conditionalFormatting>
  <dataValidations>
    <dataValidation type="list" allowBlank="1" sqref="E2:E36">
      <formula1>"Pass,Needs Improvement,Needs Audit,Fail,N/A"</formula1>
    </dataValidation>
    <dataValidation type="list" allowBlank="1" sqref="F2:F36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5.0"/>
    <col customWidth="1" min="3" max="11" width="8.71"/>
  </cols>
  <sheetData>
    <row r="1">
      <c r="A1" s="1" t="s">
        <v>176</v>
      </c>
      <c r="B1" s="1"/>
    </row>
    <row r="2">
      <c r="A2" s="2" t="s">
        <v>177</v>
      </c>
      <c r="B2" s="2" t="s">
        <v>178</v>
      </c>
    </row>
    <row r="3">
      <c r="A3" s="2" t="s">
        <v>179</v>
      </c>
      <c r="B3" s="2" t="s">
        <v>180</v>
      </c>
    </row>
    <row r="4">
      <c r="A4" s="2"/>
      <c r="B4" s="2"/>
    </row>
    <row r="5">
      <c r="A5" s="3" t="s">
        <v>181</v>
      </c>
      <c r="B5" s="3" t="s">
        <v>182</v>
      </c>
    </row>
    <row r="6">
      <c r="A6" s="2" t="s">
        <v>183</v>
      </c>
      <c r="B6" s="2" t="str">
        <f>COUNTA('Varunaassi SEO Audit'!A2:A36)</f>
        <v>35</v>
      </c>
    </row>
    <row r="7">
      <c r="A7" s="2" t="s">
        <v>44</v>
      </c>
      <c r="B7" s="2" t="str">
        <f>COUNTIF('Varunaassi SEO Audit'!E2:E36,"Pass")</f>
        <v>10</v>
      </c>
    </row>
    <row r="8">
      <c r="A8" s="2" t="s">
        <v>14</v>
      </c>
      <c r="B8" s="2" t="str">
        <f>COUNTIF('Varunaassi SEO Audit'!E2:E36,"Needs Improvement")</f>
        <v>10</v>
      </c>
    </row>
    <row r="9">
      <c r="A9" s="2" t="s">
        <v>21</v>
      </c>
      <c r="B9" s="2" t="str">
        <f>COUNTIF('Varunaassi SEO Audit'!E2:E36,"Needs Audit")</f>
        <v>15</v>
      </c>
    </row>
    <row r="10">
      <c r="A10" s="2" t="s">
        <v>184</v>
      </c>
      <c r="B10" s="2" t="str">
        <f>COUNTIF('Varunaassi SEO Audit'!E2:E36,"Fail")</f>
        <v>0</v>
      </c>
    </row>
    <row r="11">
      <c r="A11" s="2" t="s">
        <v>185</v>
      </c>
      <c r="B11" s="2" t="str">
        <f>COUNTIF('Varunaassi SEO Audit'!F2:F36,"High")+COUNTIF('Varunaassi SEO Audit'!F2:F36,"Critical")</f>
        <v>30</v>
      </c>
    </row>
    <row r="12">
      <c r="A12" s="2"/>
      <c r="B12" s="2"/>
    </row>
    <row r="13">
      <c r="A13" s="2" t="s">
        <v>186</v>
      </c>
      <c r="B13" s="2"/>
    </row>
    <row r="14">
      <c r="A14" s="2" t="s">
        <v>187</v>
      </c>
      <c r="B14" s="2" t="s">
        <v>188</v>
      </c>
    </row>
    <row r="15">
      <c r="A15" s="2" t="s">
        <v>189</v>
      </c>
      <c r="B15" s="2" t="s">
        <v>190</v>
      </c>
    </row>
    <row r="16">
      <c r="A16" s="2" t="s">
        <v>191</v>
      </c>
      <c r="B16" s="2" t="s">
        <v>192</v>
      </c>
    </row>
    <row r="17">
      <c r="A17" s="2" t="s">
        <v>193</v>
      </c>
      <c r="B17" s="2" t="s">
        <v>194</v>
      </c>
    </row>
    <row r="18">
      <c r="A18" s="2" t="s">
        <v>195</v>
      </c>
      <c r="B18" s="2" t="s">
        <v>196</v>
      </c>
    </row>
    <row r="19">
      <c r="A19" s="2" t="s">
        <v>197</v>
      </c>
      <c r="B19" s="2" t="s">
        <v>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4.0"/>
    <col customWidth="1" min="3" max="3" width="25.0"/>
    <col customWidth="1" min="4" max="4" width="38.0"/>
    <col customWidth="1" min="5" max="5" width="14.0"/>
    <col customWidth="1" min="6" max="6" width="60.0"/>
    <col customWidth="1" min="7" max="11" width="8.71"/>
  </cols>
  <sheetData>
    <row r="1">
      <c r="A1" s="1" t="s">
        <v>199</v>
      </c>
      <c r="B1" s="1" t="s">
        <v>200</v>
      </c>
      <c r="C1" s="1" t="s">
        <v>201</v>
      </c>
      <c r="D1" s="1" t="s">
        <v>202</v>
      </c>
      <c r="E1" s="1" t="s">
        <v>5</v>
      </c>
      <c r="F1" s="1" t="s">
        <v>203</v>
      </c>
    </row>
    <row r="2">
      <c r="A2" s="2" t="s">
        <v>204</v>
      </c>
      <c r="B2" s="2" t="s">
        <v>205</v>
      </c>
      <c r="C2" s="2" t="s">
        <v>206</v>
      </c>
      <c r="D2" s="2" t="s">
        <v>207</v>
      </c>
      <c r="E2" s="2" t="s">
        <v>22</v>
      </c>
      <c r="F2" s="2" t="s">
        <v>208</v>
      </c>
    </row>
    <row r="3">
      <c r="A3" s="2" t="s">
        <v>204</v>
      </c>
      <c r="B3" s="2" t="s">
        <v>209</v>
      </c>
      <c r="C3" s="2" t="s">
        <v>206</v>
      </c>
      <c r="D3" s="2" t="s">
        <v>207</v>
      </c>
      <c r="E3" s="2" t="s">
        <v>22</v>
      </c>
      <c r="F3" s="2" t="s">
        <v>210</v>
      </c>
    </row>
    <row r="4">
      <c r="A4" s="2" t="s">
        <v>206</v>
      </c>
      <c r="B4" s="2" t="s">
        <v>211</v>
      </c>
      <c r="C4" s="2" t="s">
        <v>206</v>
      </c>
      <c r="D4" s="2" t="s">
        <v>212</v>
      </c>
      <c r="E4" s="2" t="s">
        <v>15</v>
      </c>
      <c r="F4" s="2" t="s">
        <v>213</v>
      </c>
    </row>
    <row r="5">
      <c r="A5" s="2" t="s">
        <v>214</v>
      </c>
      <c r="B5" s="2" t="s">
        <v>215</v>
      </c>
      <c r="C5" s="2" t="s">
        <v>216</v>
      </c>
      <c r="D5" s="2" t="s">
        <v>217</v>
      </c>
      <c r="E5" s="2" t="s">
        <v>22</v>
      </c>
      <c r="F5" s="2" t="s">
        <v>218</v>
      </c>
    </row>
    <row r="6">
      <c r="A6" s="2" t="s">
        <v>214</v>
      </c>
      <c r="B6" s="2" t="s">
        <v>219</v>
      </c>
      <c r="C6" s="2" t="s">
        <v>220</v>
      </c>
      <c r="D6" s="2" t="s">
        <v>221</v>
      </c>
      <c r="E6" s="2" t="s">
        <v>22</v>
      </c>
      <c r="F6" s="2" t="s">
        <v>222</v>
      </c>
    </row>
    <row r="7">
      <c r="A7" s="2" t="s">
        <v>214</v>
      </c>
      <c r="B7" s="2" t="s">
        <v>223</v>
      </c>
      <c r="C7" s="2" t="s">
        <v>220</v>
      </c>
      <c r="D7" s="2" t="s">
        <v>224</v>
      </c>
      <c r="E7" s="2" t="s">
        <v>15</v>
      </c>
      <c r="F7" s="2" t="s">
        <v>225</v>
      </c>
    </row>
    <row r="8">
      <c r="A8" s="2" t="s">
        <v>214</v>
      </c>
      <c r="B8" s="2" t="s">
        <v>226</v>
      </c>
      <c r="C8" s="2" t="s">
        <v>220</v>
      </c>
      <c r="D8" s="2" t="s">
        <v>227</v>
      </c>
      <c r="E8" s="2" t="s">
        <v>15</v>
      </c>
      <c r="F8" s="2" t="s">
        <v>228</v>
      </c>
    </row>
    <row r="9">
      <c r="A9" s="2" t="s">
        <v>229</v>
      </c>
      <c r="B9" s="2" t="s">
        <v>230</v>
      </c>
      <c r="C9" s="2" t="s">
        <v>229</v>
      </c>
      <c r="D9" s="2" t="s">
        <v>231</v>
      </c>
      <c r="E9" s="2" t="s">
        <v>22</v>
      </c>
      <c r="F9" s="2" t="s">
        <v>232</v>
      </c>
    </row>
    <row r="10">
      <c r="A10" s="2" t="s">
        <v>229</v>
      </c>
      <c r="B10" s="2" t="s">
        <v>233</v>
      </c>
      <c r="C10" s="2" t="s">
        <v>234</v>
      </c>
      <c r="D10" s="2" t="s">
        <v>235</v>
      </c>
      <c r="E10" s="2" t="s">
        <v>22</v>
      </c>
      <c r="F10" s="2" t="s">
        <v>236</v>
      </c>
    </row>
    <row r="11">
      <c r="A11" s="2" t="s">
        <v>237</v>
      </c>
      <c r="B11" s="2" t="s">
        <v>238</v>
      </c>
      <c r="C11" s="2" t="s">
        <v>234</v>
      </c>
      <c r="D11" s="2" t="s">
        <v>239</v>
      </c>
      <c r="E11" s="2" t="s">
        <v>15</v>
      </c>
      <c r="F11" s="2" t="s">
        <v>240</v>
      </c>
    </row>
    <row r="12">
      <c r="A12" s="2" t="s">
        <v>237</v>
      </c>
      <c r="B12" s="2" t="s">
        <v>241</v>
      </c>
      <c r="C12" s="2" t="s">
        <v>234</v>
      </c>
      <c r="D12" s="2" t="s">
        <v>242</v>
      </c>
      <c r="E12" s="2" t="s">
        <v>22</v>
      </c>
      <c r="F12" s="2" t="s">
        <v>243</v>
      </c>
    </row>
    <row r="13">
      <c r="A13" s="2" t="s">
        <v>237</v>
      </c>
      <c r="B13" s="2" t="s">
        <v>244</v>
      </c>
      <c r="C13" s="2" t="s">
        <v>234</v>
      </c>
      <c r="D13" s="2" t="s">
        <v>245</v>
      </c>
      <c r="E13" s="2" t="s">
        <v>15</v>
      </c>
      <c r="F13" s="2" t="s">
        <v>246</v>
      </c>
    </row>
    <row r="14">
      <c r="A14" s="2" t="s">
        <v>247</v>
      </c>
      <c r="B14" s="2" t="s">
        <v>248</v>
      </c>
      <c r="C14" s="2" t="s">
        <v>206</v>
      </c>
      <c r="D14" s="2" t="s">
        <v>249</v>
      </c>
      <c r="E14" s="2" t="s">
        <v>15</v>
      </c>
      <c r="F14" s="2" t="s">
        <v>250</v>
      </c>
    </row>
    <row r="15">
      <c r="A15" s="2" t="s">
        <v>247</v>
      </c>
      <c r="B15" s="2" t="s">
        <v>251</v>
      </c>
      <c r="C15" s="2" t="s">
        <v>206</v>
      </c>
      <c r="D15" s="2" t="s">
        <v>252</v>
      </c>
      <c r="E15" s="2" t="s">
        <v>15</v>
      </c>
      <c r="F15" s="2" t="s">
        <v>253</v>
      </c>
    </row>
    <row r="16">
      <c r="A16" s="2" t="s">
        <v>247</v>
      </c>
      <c r="B16" s="2" t="s">
        <v>254</v>
      </c>
      <c r="C16" s="2" t="s">
        <v>206</v>
      </c>
      <c r="D16" s="2" t="s">
        <v>255</v>
      </c>
      <c r="E16" s="2" t="s">
        <v>55</v>
      </c>
      <c r="F16" s="2" t="s">
        <v>256</v>
      </c>
    </row>
    <row r="17">
      <c r="A17" s="2" t="s">
        <v>257</v>
      </c>
      <c r="B17" s="2" t="s">
        <v>258</v>
      </c>
      <c r="C17" s="2" t="s">
        <v>259</v>
      </c>
      <c r="D17" s="2" t="s">
        <v>260</v>
      </c>
      <c r="E17" s="2" t="s">
        <v>15</v>
      </c>
      <c r="F17" s="2" t="s">
        <v>261</v>
      </c>
    </row>
    <row r="18">
      <c r="A18" s="2" t="s">
        <v>257</v>
      </c>
      <c r="B18" s="2" t="s">
        <v>262</v>
      </c>
      <c r="C18" s="2" t="s">
        <v>259</v>
      </c>
      <c r="D18" s="2" t="s">
        <v>263</v>
      </c>
      <c r="E18" s="2" t="s">
        <v>15</v>
      </c>
      <c r="F18" s="2" t="s">
        <v>264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65.0"/>
    <col customWidth="1" min="4" max="4" width="14.0"/>
    <col customWidth="1" min="5" max="5" width="18.0"/>
    <col customWidth="1" min="6" max="11" width="8.71"/>
  </cols>
  <sheetData>
    <row r="1">
      <c r="A1" s="4" t="s">
        <v>265</v>
      </c>
      <c r="B1" s="4" t="s">
        <v>266</v>
      </c>
      <c r="C1" s="4" t="s">
        <v>267</v>
      </c>
      <c r="D1" s="4" t="s">
        <v>5</v>
      </c>
      <c r="E1" s="4" t="s">
        <v>4</v>
      </c>
    </row>
    <row r="2">
      <c r="A2" t="s">
        <v>268</v>
      </c>
      <c r="B2" t="s">
        <v>269</v>
      </c>
      <c r="C2" t="s">
        <v>270</v>
      </c>
      <c r="D2" t="s">
        <v>22</v>
      </c>
      <c r="E2" t="s">
        <v>271</v>
      </c>
    </row>
    <row r="3">
      <c r="A3" t="s">
        <v>268</v>
      </c>
      <c r="B3" t="s">
        <v>272</v>
      </c>
      <c r="C3" t="s">
        <v>273</v>
      </c>
      <c r="D3" t="s">
        <v>22</v>
      </c>
      <c r="E3" t="s">
        <v>271</v>
      </c>
    </row>
    <row r="4">
      <c r="A4" t="s">
        <v>268</v>
      </c>
      <c r="B4" t="s">
        <v>274</v>
      </c>
      <c r="C4" t="s">
        <v>275</v>
      </c>
      <c r="D4" t="s">
        <v>15</v>
      </c>
      <c r="E4" t="s">
        <v>271</v>
      </c>
    </row>
    <row r="5">
      <c r="A5" t="s">
        <v>276</v>
      </c>
      <c r="B5" t="s">
        <v>277</v>
      </c>
      <c r="C5" t="s">
        <v>278</v>
      </c>
      <c r="D5" t="s">
        <v>22</v>
      </c>
      <c r="E5" t="s">
        <v>271</v>
      </c>
    </row>
    <row r="6">
      <c r="A6" t="s">
        <v>276</v>
      </c>
      <c r="B6" t="s">
        <v>279</v>
      </c>
      <c r="C6" t="s">
        <v>280</v>
      </c>
      <c r="D6" t="s">
        <v>15</v>
      </c>
      <c r="E6" t="s">
        <v>271</v>
      </c>
    </row>
    <row r="7">
      <c r="A7" t="s">
        <v>281</v>
      </c>
      <c r="B7" t="s">
        <v>164</v>
      </c>
      <c r="C7" t="s">
        <v>282</v>
      </c>
      <c r="D7" t="s">
        <v>22</v>
      </c>
      <c r="E7" t="s">
        <v>271</v>
      </c>
    </row>
    <row r="8">
      <c r="A8" t="s">
        <v>281</v>
      </c>
      <c r="B8" t="s">
        <v>81</v>
      </c>
      <c r="C8" t="s">
        <v>283</v>
      </c>
      <c r="D8" t="s">
        <v>22</v>
      </c>
      <c r="E8" t="s">
        <v>271</v>
      </c>
    </row>
    <row r="9">
      <c r="A9" t="s">
        <v>284</v>
      </c>
      <c r="B9" t="s">
        <v>285</v>
      </c>
      <c r="C9" t="s">
        <v>286</v>
      </c>
      <c r="D9" t="s">
        <v>15</v>
      </c>
      <c r="E9" t="s">
        <v>271</v>
      </c>
    </row>
    <row r="10">
      <c r="A10" t="s">
        <v>284</v>
      </c>
      <c r="B10" t="s">
        <v>287</v>
      </c>
      <c r="C10" t="s">
        <v>288</v>
      </c>
      <c r="D10" t="s">
        <v>15</v>
      </c>
      <c r="E10" t="s">
        <v>271</v>
      </c>
    </row>
    <row r="11">
      <c r="A11" t="s">
        <v>284</v>
      </c>
      <c r="B11" t="s">
        <v>289</v>
      </c>
      <c r="C11" t="s">
        <v>290</v>
      </c>
      <c r="D11" t="s">
        <v>55</v>
      </c>
      <c r="E11" t="s">
        <v>271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qref="E2:E100">
      <formula1>"Not Started,In Progress,Completed"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20.0"/>
    <col customWidth="1" min="3" max="11" width="8.71"/>
  </cols>
  <sheetData>
    <row r="1">
      <c r="A1" s="4" t="s">
        <v>291</v>
      </c>
      <c r="B1" s="4" t="s">
        <v>292</v>
      </c>
    </row>
    <row r="2">
      <c r="A2" t="s">
        <v>293</v>
      </c>
      <c r="B2" t="s">
        <v>178</v>
      </c>
    </row>
    <row r="3">
      <c r="A3" t="s">
        <v>294</v>
      </c>
      <c r="B3" t="s">
        <v>295</v>
      </c>
    </row>
    <row r="4">
      <c r="A4" t="s">
        <v>296</v>
      </c>
      <c r="B4" t="s">
        <v>297</v>
      </c>
    </row>
    <row r="5">
      <c r="A5" t="s">
        <v>298</v>
      </c>
      <c r="B5" t="s">
        <v>299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2026-09-11T14:14:31Z</dcterms:created>
  <dc:creator>openpyxl</dc:creator>
  <dcterms:modified xsi:type="dcterms:W3CDTF">2026-09-11T14:14:31Z</dcterms:modified>
</cp:coreProperties>
</file>